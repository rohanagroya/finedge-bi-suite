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_Economics" sheetId="1" state="visible" r:id="rId3"/>
    <sheet name="Revenue_Projection" sheetId="2" state="visible" r:id="rId4"/>
    <sheet name="NPA_Sensitiv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<sst xmlns="http://schemas.openxmlformats.org/spreadsheetml/2006/main" count="91" uniqueCount="72">
  <si>
    <t xml:space="preserve">FINEDGE LENDING — UNIT ECONOMICS MODEL</t>
  </si>
  <si>
    <t xml:space="preserve">ASSUMPTIONS (Inputs — Blue = editable)</t>
  </si>
  <si>
    <t xml:space="preserve">Marketing Cost per Customer ($)</t>
  </si>
  <si>
    <t xml:space="preserve">Source: Industry-standard fintech CAC estimate</t>
  </si>
  <si>
    <t xml:space="preserve">Operations Cost per Customer ($)</t>
  </si>
  <si>
    <t xml:space="preserve">Source: Industry-standard onboarding/ops cost estimate</t>
  </si>
  <si>
    <t xml:space="preserve">Avg Loan Amount ($)</t>
  </si>
  <si>
    <t xml:space="preserve">Source: Python analysis (df['loan_amnt'].mean())</t>
  </si>
  <si>
    <t xml:space="preserve">Avg Interest Rate (%)</t>
  </si>
  <si>
    <t xml:space="preserve">Source: Python analysis (df['loan_int_rate'].mean())</t>
  </si>
  <si>
    <t xml:space="preserve">Avg Loan Tenure (years)</t>
  </si>
  <si>
    <t xml:space="preserve">Assumption: typical personal loan tenure</t>
  </si>
  <si>
    <t xml:space="preserve">Default Rate (%)</t>
  </si>
  <si>
    <t xml:space="preserve">Source: SQL/Python analysis — overall default rate</t>
  </si>
  <si>
    <t xml:space="preserve">Repeat Customer Rate (%)</t>
  </si>
  <si>
    <t xml:space="preserve">Assumption: % of healthy customers who take a 2nd loan</t>
  </si>
  <si>
    <t xml:space="preserve">CUSTOMER ACQUISITION COST (CAC)</t>
  </si>
  <si>
    <t xml:space="preserve">Total CAC per Customer ($)</t>
  </si>
  <si>
    <t xml:space="preserve">Marketing + Operations cost</t>
  </si>
  <si>
    <t xml:space="preserve">LIFETIME VALUE (LTV)</t>
  </si>
  <si>
    <t xml:space="preserve">Interest Income per Loan ($)</t>
  </si>
  <si>
    <t xml:space="preserve">Loan Amount × Interest Rate × Tenure</t>
  </si>
  <si>
    <t xml:space="preserve">Probability Loan Performs (1 - Default Rate)</t>
  </si>
  <si>
    <t xml:space="preserve">Expected Income from 1st Loan ($)</t>
  </si>
  <si>
    <t xml:space="preserve">Risk-adjusted — accounts for default probability</t>
  </si>
  <si>
    <t xml:space="preserve">Expected Income from Repeat Loan ($)</t>
  </si>
  <si>
    <t xml:space="preserve">35% of healthy customers return for a 2nd loan</t>
  </si>
  <si>
    <t xml:space="preserve">Total LTV per Customer ($)</t>
  </si>
  <si>
    <t xml:space="preserve">KEY HEALTH METRICS</t>
  </si>
  <si>
    <t xml:space="preserve">LTV : CAC Ratio</t>
  </si>
  <si>
    <t xml:space="preserve">Healthy benchmark is 3x or higher</t>
  </si>
  <si>
    <t xml:space="preserve">Payback Period (years)</t>
  </si>
  <si>
    <t xml:space="preserve">Time to recover CAC from interest income</t>
  </si>
  <si>
    <t xml:space="preserve">Note: All figures are model estimates based on portfolio averages from SQL/Python analysis.</t>
  </si>
  <si>
    <t xml:space="preserve">FINEDGE LENDING — 3-YEAR REVENUE PROJECTION</t>
  </si>
  <si>
    <t xml:space="preserve">SHARED ASSUMPTIONS</t>
  </si>
  <si>
    <t xml:space="preserve">Current Active Customers</t>
  </si>
  <si>
    <t xml:space="preserve">Source: Python cleaned dataset row count</t>
  </si>
  <si>
    <t xml:space="preserve">Avg Revenue per Customer/Year ($)</t>
  </si>
  <si>
    <t xml:space="preserve">Linked from Unit Economics tab (green = cross-sheet link)</t>
  </si>
  <si>
    <t xml:space="preserve">SCENARIO DRIVERS</t>
  </si>
  <si>
    <t xml:space="preserve">Driver</t>
  </si>
  <si>
    <t xml:space="preserve">Best Case</t>
  </si>
  <si>
    <t xml:space="preserve">Base Case</t>
  </si>
  <si>
    <t xml:space="preserve">Bear Case</t>
  </si>
  <si>
    <t xml:space="preserve">Annual Customer Growth Rate (%)</t>
  </si>
  <si>
    <t xml:space="preserve">Note</t>
  </si>
  <si>
    <t xml:space="preserve">NPA improves via underwriting fix</t>
  </si>
  <si>
    <t xml:space="preserve">Current observed rate continues</t>
  </si>
  <si>
    <t xml:space="preserve">NPA worsens, no action taken</t>
  </si>
  <si>
    <t xml:space="preserve">BEST CASE — 3-YEAR PROJECTION</t>
  </si>
  <si>
    <t xml:space="preserve">Metric</t>
  </si>
  <si>
    <t xml:space="preserve">Year 1</t>
  </si>
  <si>
    <t xml:space="preserve">Year 2</t>
  </si>
  <si>
    <t xml:space="preserve">Year 3</t>
  </si>
  <si>
    <t xml:space="preserve">Active Customers</t>
  </si>
  <si>
    <t xml:space="preserve">Gross Revenue ($)</t>
  </si>
  <si>
    <t xml:space="preserve">Revenue Lost to Defaults ($)</t>
  </si>
  <si>
    <t xml:space="preserve">Net Revenue ($)</t>
  </si>
  <si>
    <t xml:space="preserve">BASE CASE — 3-YEAR PROJECTION</t>
  </si>
  <si>
    <t xml:space="preserve">BEAR CASE — 3-YEAR PROJECTION</t>
  </si>
  <si>
    <t xml:space="preserve">FINEDGE LENDING — NPA SENSITIVITY ANALYSIS</t>
  </si>
  <si>
    <t xml:space="preserve">BASE INPUTS (linked from other tabs)</t>
  </si>
  <si>
    <t xml:space="preserve">Revenue per Customer ($)</t>
  </si>
  <si>
    <t xml:space="preserve">Current Default Rate (%)</t>
  </si>
  <si>
    <t xml:space="preserve">Total Gross Revenue ($)</t>
  </si>
  <si>
    <t xml:space="preserve">SENSITIVITY TABLE — Default Rate Impact on Net Revenue</t>
  </si>
  <si>
    <t xml:space="preserve">Default Rate</t>
  </si>
  <si>
    <t xml:space="preserve">Revenue Lost ($)</t>
  </si>
  <si>
    <t xml:space="preserve">vs Current Net Rev ($)</t>
  </si>
  <si>
    <t xml:space="preserve">Status</t>
  </si>
  <si>
    <t xml:space="preserve">Note: Revenue per customer and customer count held constant — isolates the pure effect of default rate.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</si>
</sst>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%"/>
    <numFmt numFmtId="167" formatCode="0"/>
    <numFmt numFmtId="168" formatCode="0.0\x"/>
    <numFmt numFmtId="169" formatCode="0.00"/>
    <numFmt numFmtId="170" formatCode="#,##0"/>
    <numFmt numFmtId="171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6366F1"/>
        <bgColor rgb="FF666699"/>
      </patternFill>
    </fill>
    <fill>
      <patternFill patternType="solid">
        <fgColor rgb="FFDCFCE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66F1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5"/>
  </cols>
  <sheetData>
    <row r="1" customFormat="false" ht="27.7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3" t="s">
        <v>2</v>
      </c>
      <c r="B4" s="4" t="n">
        <v>45</v>
      </c>
      <c r="C4" s="5" t="s">
        <v>3</v>
      </c>
    </row>
    <row r="5" customFormat="false" ht="15" hidden="false" customHeight="false" outlineLevel="0" collapsed="false">
      <c r="A5" s="3" t="s">
        <v>4</v>
      </c>
      <c r="B5" s="4" t="n">
        <v>15</v>
      </c>
      <c r="C5" s="5" t="s">
        <v>5</v>
      </c>
    </row>
    <row r="6" customFormat="false" ht="15" hidden="false" customHeight="false" outlineLevel="0" collapsed="false">
      <c r="A6" s="3" t="s">
        <v>6</v>
      </c>
      <c r="B6" s="4" t="n">
        <v>9594</v>
      </c>
      <c r="C6" s="5" t="s">
        <v>7</v>
      </c>
    </row>
    <row r="7" customFormat="false" ht="15" hidden="false" customHeight="false" outlineLevel="0" collapsed="false">
      <c r="A7" s="3" t="s">
        <v>8</v>
      </c>
      <c r="B7" s="6" t="n">
        <v>0.1102</v>
      </c>
      <c r="C7" s="5" t="s">
        <v>9</v>
      </c>
    </row>
    <row r="8" customFormat="false" ht="15" hidden="false" customHeight="false" outlineLevel="0" collapsed="false">
      <c r="A8" s="3" t="s">
        <v>10</v>
      </c>
      <c r="B8" s="7" t="n">
        <v>3</v>
      </c>
      <c r="C8" s="5" t="s">
        <v>11</v>
      </c>
    </row>
    <row r="9" customFormat="false" ht="15" hidden="false" customHeight="false" outlineLevel="0" collapsed="false">
      <c r="A9" s="3" t="s">
        <v>12</v>
      </c>
      <c r="B9" s="6" t="n">
        <v>0.218</v>
      </c>
      <c r="C9" s="5" t="s">
        <v>13</v>
      </c>
    </row>
    <row r="10" customFormat="false" ht="15" hidden="false" customHeight="false" outlineLevel="0" collapsed="false">
      <c r="A10" s="3" t="s">
        <v>14</v>
      </c>
      <c r="B10" s="6" t="n">
        <v>0.35</v>
      </c>
      <c r="C10" s="5" t="s">
        <v>15</v>
      </c>
    </row>
    <row r="12" customFormat="false" ht="15" hidden="false" customHeight="false" outlineLevel="0" collapsed="false">
      <c r="A12" s="2" t="s">
        <v>16</v>
      </c>
      <c r="B12" s="2"/>
      <c r="C12" s="2"/>
    </row>
    <row r="13" customFormat="false" ht="15" hidden="false" customHeight="false" outlineLevel="0" collapsed="false">
      <c r="A13" s="3" t="s">
        <v>17</v>
      </c>
      <c r="B13" s="8" t="n">
        <f aca="false">B4+B5</f>
        <v>60</v>
      </c>
      <c r="C13" s="5" t="s">
        <v>18</v>
      </c>
    </row>
    <row r="15" customFormat="false" ht="15" hidden="false" customHeight="false" outlineLevel="0" collapsed="false">
      <c r="A15" s="2" t="s">
        <v>19</v>
      </c>
      <c r="B15" s="2"/>
      <c r="C15" s="2"/>
    </row>
    <row r="16" customFormat="false" ht="15" hidden="false" customHeight="false" outlineLevel="0" collapsed="false">
      <c r="A16" s="3" t="s">
        <v>20</v>
      </c>
      <c r="B16" s="8" t="n">
        <f aca="false">B6*B7*B8</f>
        <v>3171.7764</v>
      </c>
      <c r="C16" s="5" t="s">
        <v>21</v>
      </c>
    </row>
    <row r="17" customFormat="false" ht="15" hidden="false" customHeight="false" outlineLevel="0" collapsed="false">
      <c r="A17" s="3" t="s">
        <v>22</v>
      </c>
      <c r="B17" s="9" t="n">
        <f aca="false">1-B9</f>
        <v>0.782</v>
      </c>
    </row>
    <row r="18" customFormat="false" ht="15" hidden="false" customHeight="false" outlineLevel="0" collapsed="false">
      <c r="A18" s="3" t="s">
        <v>23</v>
      </c>
      <c r="B18" s="8" t="n">
        <f aca="false">B16*B17</f>
        <v>2480.3291448</v>
      </c>
      <c r="C18" s="5" t="s">
        <v>24</v>
      </c>
    </row>
    <row r="19" customFormat="false" ht="15" hidden="false" customHeight="false" outlineLevel="0" collapsed="false">
      <c r="A19" s="3" t="s">
        <v>25</v>
      </c>
      <c r="B19" s="8" t="n">
        <f aca="false">B18*B10</f>
        <v>868.11520068</v>
      </c>
      <c r="C19" s="5" t="s">
        <v>26</v>
      </c>
    </row>
    <row r="20" customFormat="false" ht="15" hidden="false" customHeight="false" outlineLevel="0" collapsed="false">
      <c r="A20" s="10" t="s">
        <v>27</v>
      </c>
      <c r="B20" s="11" t="n">
        <f aca="false">B18+B19</f>
        <v>3348.44434548</v>
      </c>
    </row>
    <row r="22" customFormat="false" ht="15" hidden="false" customHeight="false" outlineLevel="0" collapsed="false">
      <c r="A22" s="2" t="s">
        <v>28</v>
      </c>
      <c r="B22" s="2"/>
      <c r="C22" s="2"/>
    </row>
    <row r="23" customFormat="false" ht="15" hidden="false" customHeight="false" outlineLevel="0" collapsed="false">
      <c r="A23" s="10" t="s">
        <v>29</v>
      </c>
      <c r="B23" s="12" t="n">
        <f aca="false">B20/B13</f>
        <v>55.807405758</v>
      </c>
      <c r="C23" s="5" t="s">
        <v>30</v>
      </c>
    </row>
    <row r="24" customFormat="false" ht="15" hidden="false" customHeight="false" outlineLevel="0" collapsed="false">
      <c r="A24" s="10" t="s">
        <v>31</v>
      </c>
      <c r="B24" s="13" t="n">
        <f aca="false">B13/(B16/B8)</f>
        <v>0.0567505326037485</v>
      </c>
      <c r="C24" s="5" t="s">
        <v>32</v>
      </c>
    </row>
    <row r="26" customFormat="false" ht="15" hidden="false" customHeight="false" outlineLevel="0" collapsed="false">
      <c r="A26" s="14" t="s">
        <v>33</v>
      </c>
    </row>
  </sheetData>
  <mergeCells count="5">
    <mergeCell ref="A1:C1"/>
    <mergeCell ref="A3:C3"/>
    <mergeCell ref="A12:C12"/>
    <mergeCell ref="A15:C15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4"/>
  </cols>
  <sheetData>
    <row r="1" customFormat="false" ht="27.7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35</v>
      </c>
      <c r="B3" s="2"/>
      <c r="C3" s="2"/>
      <c r="D3" s="2"/>
    </row>
    <row r="4" customFormat="false" ht="15" hidden="false" customHeight="false" outlineLevel="0" collapsed="false">
      <c r="A4" s="3" t="s">
        <v>36</v>
      </c>
      <c r="B4" s="15" t="n">
        <v>32396</v>
      </c>
      <c r="C4" s="5" t="s">
        <v>37</v>
      </c>
    </row>
    <row r="5" customFormat="false" ht="15" hidden="false" customHeight="false" outlineLevel="0" collapsed="false">
      <c r="A5" s="3" t="s">
        <v>38</v>
      </c>
      <c r="B5" s="16" t="n">
        <f aca="false">Unit_Economics!B16/Unit_Economics!B8</f>
        <v>1057.2588</v>
      </c>
      <c r="C5" s="5" t="s">
        <v>39</v>
      </c>
    </row>
    <row r="7" customFormat="false" ht="15" hidden="false" customHeight="false" outlineLevel="0" collapsed="false">
      <c r="A7" s="2" t="s">
        <v>40</v>
      </c>
      <c r="B7" s="2"/>
      <c r="C7" s="2"/>
      <c r="D7" s="2"/>
    </row>
    <row r="8" customFormat="false" ht="15" hidden="false" customHeight="false" outlineLevel="0" collapsed="false">
      <c r="A8" s="17" t="s">
        <v>41</v>
      </c>
      <c r="B8" s="17" t="s">
        <v>42</v>
      </c>
      <c r="C8" s="17" t="s">
        <v>43</v>
      </c>
      <c r="D8" s="17" t="s">
        <v>44</v>
      </c>
    </row>
    <row r="9" customFormat="false" ht="15" hidden="false" customHeight="false" outlineLevel="0" collapsed="false">
      <c r="A9" s="3" t="s">
        <v>45</v>
      </c>
      <c r="B9" s="6" t="n">
        <v>0.25</v>
      </c>
      <c r="C9" s="6" t="n">
        <v>0.15</v>
      </c>
      <c r="D9" s="6" t="n">
        <v>0.05</v>
      </c>
    </row>
    <row r="10" customFormat="false" ht="15" hidden="false" customHeight="false" outlineLevel="0" collapsed="false">
      <c r="A10" s="3" t="s">
        <v>12</v>
      </c>
      <c r="B10" s="6" t="n">
        <v>0.15</v>
      </c>
      <c r="C10" s="6" t="n">
        <v>0.218</v>
      </c>
      <c r="D10" s="6" t="n">
        <v>0.3</v>
      </c>
    </row>
    <row r="11" customFormat="false" ht="15" hidden="false" customHeight="false" outlineLevel="0" collapsed="false">
      <c r="A11" s="5" t="s">
        <v>46</v>
      </c>
      <c r="B11" s="5" t="s">
        <v>47</v>
      </c>
      <c r="C11" s="5" t="s">
        <v>48</v>
      </c>
      <c r="D11" s="5" t="s">
        <v>49</v>
      </c>
    </row>
    <row r="13" customFormat="false" ht="15" hidden="false" customHeight="false" outlineLevel="0" collapsed="false">
      <c r="A13" s="2" t="s">
        <v>50</v>
      </c>
      <c r="B13" s="2"/>
      <c r="C13" s="2"/>
      <c r="D13" s="2"/>
    </row>
    <row r="14" customFormat="false" ht="15" hidden="false" customHeight="false" outlineLevel="0" collapsed="false">
      <c r="A14" s="18" t="s">
        <v>51</v>
      </c>
      <c r="B14" s="19" t="s">
        <v>52</v>
      </c>
      <c r="C14" s="19" t="s">
        <v>53</v>
      </c>
      <c r="D14" s="19" t="s">
        <v>54</v>
      </c>
    </row>
    <row r="15" customFormat="false" ht="15" hidden="false" customHeight="false" outlineLevel="0" collapsed="false">
      <c r="A15" s="3" t="s">
        <v>55</v>
      </c>
      <c r="B15" s="20" t="n">
        <f aca="false">$B$4*(1+B$9)</f>
        <v>40495</v>
      </c>
      <c r="C15" s="20" t="n">
        <f aca="false">B15*(1+B$9)</f>
        <v>50618.75</v>
      </c>
      <c r="D15" s="20" t="n">
        <f aca="false">C15*(1+B$9)</f>
        <v>63273.4375</v>
      </c>
    </row>
    <row r="16" customFormat="false" ht="15" hidden="false" customHeight="false" outlineLevel="0" collapsed="false">
      <c r="A16" s="3" t="s">
        <v>56</v>
      </c>
      <c r="B16" s="8" t="n">
        <f aca="false">B15*$B$5</f>
        <v>42813695.106</v>
      </c>
      <c r="C16" s="8" t="n">
        <f aca="false">C15*$B$5</f>
        <v>53517118.8825</v>
      </c>
      <c r="D16" s="8" t="n">
        <f aca="false">D15*$B$5</f>
        <v>66896398.603125</v>
      </c>
    </row>
    <row r="17" customFormat="false" ht="15" hidden="false" customHeight="false" outlineLevel="0" collapsed="false">
      <c r="A17" s="3" t="s">
        <v>57</v>
      </c>
      <c r="B17" s="8" t="n">
        <f aca="false">B16*B$10</f>
        <v>6422054.2659</v>
      </c>
      <c r="C17" s="8" t="n">
        <f aca="false">C16*B$10</f>
        <v>8027567.832375</v>
      </c>
      <c r="D17" s="8" t="n">
        <f aca="false">D16*B$10</f>
        <v>10034459.7904688</v>
      </c>
    </row>
    <row r="18" customFormat="false" ht="15" hidden="false" customHeight="false" outlineLevel="0" collapsed="false">
      <c r="A18" s="10" t="s">
        <v>58</v>
      </c>
      <c r="B18" s="11" t="n">
        <f aca="false">B16-B17</f>
        <v>36391640.8401</v>
      </c>
      <c r="C18" s="11" t="n">
        <f aca="false">C16-C17</f>
        <v>45489551.050125</v>
      </c>
      <c r="D18" s="11" t="n">
        <f aca="false">D16-D17</f>
        <v>56861938.8126563</v>
      </c>
    </row>
    <row r="20" customFormat="false" ht="15" hidden="false" customHeight="false" outlineLevel="0" collapsed="false">
      <c r="A20" s="2" t="s">
        <v>59</v>
      </c>
      <c r="B20" s="2"/>
      <c r="C20" s="2"/>
      <c r="D20" s="2"/>
    </row>
    <row r="21" customFormat="false" ht="15" hidden="false" customHeight="false" outlineLevel="0" collapsed="false">
      <c r="A21" s="18" t="s">
        <v>51</v>
      </c>
      <c r="B21" s="19" t="s">
        <v>52</v>
      </c>
      <c r="C21" s="19" t="s">
        <v>53</v>
      </c>
      <c r="D21" s="19" t="s">
        <v>54</v>
      </c>
    </row>
    <row r="22" customFormat="false" ht="15" hidden="false" customHeight="false" outlineLevel="0" collapsed="false">
      <c r="A22" s="3" t="s">
        <v>55</v>
      </c>
      <c r="B22" s="20" t="n">
        <f aca="false">$B$4*(1+C$9)</f>
        <v>37255.4</v>
      </c>
      <c r="C22" s="20" t="n">
        <f aca="false">B22*(1+C$9)</f>
        <v>42843.71</v>
      </c>
      <c r="D22" s="20" t="n">
        <f aca="false">C22*(1+C$9)</f>
        <v>49270.2665</v>
      </c>
    </row>
    <row r="23" customFormat="false" ht="15" hidden="false" customHeight="false" outlineLevel="0" collapsed="false">
      <c r="A23" s="3" t="s">
        <v>56</v>
      </c>
      <c r="B23" s="8" t="n">
        <f aca="false">B22*$B$5</f>
        <v>39388599.49752</v>
      </c>
      <c r="C23" s="8" t="n">
        <f aca="false">C22*$B$5</f>
        <v>45296889.422148</v>
      </c>
      <c r="D23" s="8" t="n">
        <f aca="false">D22*$B$5</f>
        <v>52091422.8354702</v>
      </c>
    </row>
    <row r="24" customFormat="false" ht="15" hidden="false" customHeight="false" outlineLevel="0" collapsed="false">
      <c r="A24" s="3" t="s">
        <v>57</v>
      </c>
      <c r="B24" s="8" t="n">
        <f aca="false">B23*C$10</f>
        <v>8586714.69045936</v>
      </c>
      <c r="C24" s="8" t="n">
        <f aca="false">C23*C$10</f>
        <v>9874721.89402826</v>
      </c>
      <c r="D24" s="8" t="n">
        <f aca="false">D23*C$10</f>
        <v>11355930.1781325</v>
      </c>
    </row>
    <row r="25" customFormat="false" ht="15" hidden="false" customHeight="false" outlineLevel="0" collapsed="false">
      <c r="A25" s="10" t="s">
        <v>58</v>
      </c>
      <c r="B25" s="11" t="n">
        <f aca="false">B23-B24</f>
        <v>30801884.8070606</v>
      </c>
      <c r="C25" s="11" t="n">
        <f aca="false">C23-C24</f>
        <v>35422167.5281197</v>
      </c>
      <c r="D25" s="11" t="n">
        <f aca="false">D23-D24</f>
        <v>40735492.6573377</v>
      </c>
    </row>
    <row r="27" customFormat="false" ht="15" hidden="false" customHeight="false" outlineLevel="0" collapsed="false">
      <c r="A27" s="2" t="s">
        <v>60</v>
      </c>
      <c r="B27" s="2"/>
      <c r="C27" s="2"/>
      <c r="D27" s="2"/>
    </row>
    <row r="28" customFormat="false" ht="15" hidden="false" customHeight="false" outlineLevel="0" collapsed="false">
      <c r="A28" s="18" t="s">
        <v>51</v>
      </c>
      <c r="B28" s="19" t="s">
        <v>52</v>
      </c>
      <c r="C28" s="19" t="s">
        <v>53</v>
      </c>
      <c r="D28" s="19" t="s">
        <v>54</v>
      </c>
    </row>
    <row r="29" customFormat="false" ht="15" hidden="false" customHeight="false" outlineLevel="0" collapsed="false">
      <c r="A29" s="3" t="s">
        <v>55</v>
      </c>
      <c r="B29" s="20" t="n">
        <f aca="false">$B$4*(1+D$9)</f>
        <v>34015.8</v>
      </c>
      <c r="C29" s="20" t="n">
        <f aca="false">B29*(1+D$9)</f>
        <v>35716.59</v>
      </c>
      <c r="D29" s="20" t="n">
        <f aca="false">C29*(1+D$9)</f>
        <v>37502.4195</v>
      </c>
    </row>
    <row r="30" customFormat="false" ht="15" hidden="false" customHeight="false" outlineLevel="0" collapsed="false">
      <c r="A30" s="3" t="s">
        <v>56</v>
      </c>
      <c r="B30" s="8" t="n">
        <f aca="false">B29*$B$5</f>
        <v>35963503.88904</v>
      </c>
      <c r="C30" s="8" t="n">
        <f aca="false">C29*$B$5</f>
        <v>37761679.083492</v>
      </c>
      <c r="D30" s="8" t="n">
        <f aca="false">D29*$B$5</f>
        <v>39649763.0376666</v>
      </c>
    </row>
    <row r="31" customFormat="false" ht="15" hidden="false" customHeight="false" outlineLevel="0" collapsed="false">
      <c r="A31" s="3" t="s">
        <v>57</v>
      </c>
      <c r="B31" s="8" t="n">
        <f aca="false">B30*D$10</f>
        <v>10789051.166712</v>
      </c>
      <c r="C31" s="8" t="n">
        <f aca="false">C30*D$10</f>
        <v>11328503.7250476</v>
      </c>
      <c r="D31" s="8" t="n">
        <f aca="false">D30*D$10</f>
        <v>11894928.9113</v>
      </c>
    </row>
    <row r="32" customFormat="false" ht="15" hidden="false" customHeight="false" outlineLevel="0" collapsed="false">
      <c r="A32" s="10" t="s">
        <v>58</v>
      </c>
      <c r="B32" s="11" t="n">
        <f aca="false">B30-B31</f>
        <v>25174452.722328</v>
      </c>
      <c r="C32" s="11" t="n">
        <f aca="false">C30-C31</f>
        <v>26433175.3584444</v>
      </c>
      <c r="D32" s="11" t="n">
        <f aca="false">D30-D31</f>
        <v>27754834.1263666</v>
      </c>
    </row>
  </sheetData>
  <mergeCells count="6">
    <mergeCell ref="A1:J1"/>
    <mergeCell ref="A3:D3"/>
    <mergeCell ref="A7:D7"/>
    <mergeCell ref="A13:D13"/>
    <mergeCell ref="A20:D20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27.75" hidden="false" customHeight="true" outlineLevel="0" collapsed="false">
      <c r="A1" s="1" t="s">
        <v>61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62</v>
      </c>
      <c r="B3" s="2"/>
      <c r="C3" s="2"/>
      <c r="D3" s="2"/>
    </row>
    <row r="4" customFormat="false" ht="15" hidden="false" customHeight="false" outlineLevel="0" collapsed="false">
      <c r="A4" s="3" t="s">
        <v>55</v>
      </c>
      <c r="B4" s="21" t="n">
        <f aca="false">Revenue_Projection!B4</f>
        <v>32396</v>
      </c>
    </row>
    <row r="5" customFormat="false" ht="15" hidden="false" customHeight="false" outlineLevel="0" collapsed="false">
      <c r="A5" s="3" t="s">
        <v>63</v>
      </c>
      <c r="B5" s="16" t="n">
        <f aca="false">Revenue_Projection!B5</f>
        <v>1057.2588</v>
      </c>
    </row>
    <row r="6" customFormat="false" ht="15" hidden="false" customHeight="false" outlineLevel="0" collapsed="false">
      <c r="A6" s="3" t="s">
        <v>64</v>
      </c>
      <c r="B6" s="22" t="n">
        <f aca="false">Revenue_Projection!C10</f>
        <v>0.218</v>
      </c>
    </row>
    <row r="7" customFormat="false" ht="15" hidden="false" customHeight="false" outlineLevel="0" collapsed="false">
      <c r="A7" s="3" t="s">
        <v>65</v>
      </c>
      <c r="B7" s="8" t="n">
        <f aca="false">B4*B5</f>
        <v>34250956.0848</v>
      </c>
    </row>
    <row r="8" customFormat="false" ht="15" hidden="false" customHeight="false" outlineLevel="0" collapsed="false">
      <c r="A8" s="2" t="s">
        <v>66</v>
      </c>
      <c r="B8" s="2"/>
      <c r="C8" s="2"/>
      <c r="D8" s="2"/>
      <c r="E8" s="2"/>
      <c r="F8" s="2"/>
    </row>
    <row r="9" customFormat="false" ht="15" hidden="false" customHeight="false" outlineLevel="0" collapsed="false">
      <c r="A9" s="23" t="s">
        <v>67</v>
      </c>
      <c r="B9" s="23" t="s">
        <v>68</v>
      </c>
      <c r="C9" s="23" t="s">
        <v>58</v>
      </c>
      <c r="D9" s="23" t="s">
        <v>69</v>
      </c>
      <c r="E9" s="23" t="s">
        <v>70</v>
      </c>
    </row>
    <row r="10" customFormat="false" ht="15" hidden="false" customHeight="false" outlineLevel="0" collapsed="false">
      <c r="A10" s="6" t="n">
        <v>0.1</v>
      </c>
      <c r="B10" s="8" t="n">
        <f aca="false">$B$7*A10</f>
        <v>3425095.60848</v>
      </c>
      <c r="C10" s="8" t="n">
        <f aca="false">$B$7-B10</f>
        <v>30825860.47632</v>
      </c>
      <c r="D10" s="24" t="n">
        <f aca="false">C10-C$13</f>
        <v>4041612.8180064</v>
      </c>
      <c r="E10" s="25" t="str">
        <f aca="false">IF(A10=B$6,"CURRENT",IF(A10&lt;B$6,"IMPROVEMENT","WORSENING"))</f>
        <v>IMPROVEMENT</v>
      </c>
    </row>
    <row r="11" customFormat="false" ht="15" hidden="false" customHeight="false" outlineLevel="0" collapsed="false">
      <c r="A11" s="6" t="n">
        <v>0.15</v>
      </c>
      <c r="B11" s="8" t="n">
        <f aca="false">$B$7*A11</f>
        <v>5137643.41272</v>
      </c>
      <c r="C11" s="8" t="n">
        <f aca="false">$B$7-B11</f>
        <v>29113312.67208</v>
      </c>
      <c r="D11" s="24" t="n">
        <f aca="false">C11-C$13</f>
        <v>2329065.0137664</v>
      </c>
      <c r="E11" s="25" t="str">
        <f aca="false">IF(A11=B$6,"CURRENT",IF(A11&lt;B$6,"IMPROVEMENT","WORSENING"))</f>
        <v>IMPROVEMENT</v>
      </c>
    </row>
    <row r="12" customFormat="false" ht="15" hidden="false" customHeight="false" outlineLevel="0" collapsed="false">
      <c r="A12" s="6" t="n">
        <v>0.18</v>
      </c>
      <c r="B12" s="8" t="n">
        <f aca="false">$B$7*A12</f>
        <v>6165172.095264</v>
      </c>
      <c r="C12" s="8" t="n">
        <f aca="false">$B$7-B12</f>
        <v>28085783.989536</v>
      </c>
      <c r="D12" s="24" t="n">
        <f aca="false">C12-C$13</f>
        <v>1301536.3312224</v>
      </c>
      <c r="E12" s="25" t="str">
        <f aca="false">IF(A12=B$6,"CURRENT",IF(A12&lt;B$6,"IMPROVEMENT","WORSENING"))</f>
        <v>IMPROVEMENT</v>
      </c>
    </row>
    <row r="13" customFormat="false" ht="15" hidden="false" customHeight="false" outlineLevel="0" collapsed="false">
      <c r="A13" s="26" t="n">
        <v>0.218</v>
      </c>
      <c r="B13" s="11" t="n">
        <f aca="false">$B$7*A13</f>
        <v>7466708.4264864</v>
      </c>
      <c r="C13" s="11" t="n">
        <f aca="false">$B$7-B13</f>
        <v>26784247.6583136</v>
      </c>
      <c r="D13" s="27" t="n">
        <f aca="false">C13-C$13</f>
        <v>0</v>
      </c>
      <c r="E13" s="28" t="str">
        <f aca="false">IF(A13=B$6,"CURRENT",IF(A13&lt;B$6,"IMPROVEMENT","WORSENING"))</f>
        <v>CURRENT</v>
      </c>
    </row>
    <row r="14" customFormat="false" ht="15" hidden="false" customHeight="false" outlineLevel="0" collapsed="false">
      <c r="A14" s="6" t="n">
        <v>0.25</v>
      </c>
      <c r="B14" s="8" t="n">
        <f aca="false">$B$7*A14</f>
        <v>8562739.0212</v>
      </c>
      <c r="C14" s="8" t="n">
        <f aca="false">$B$7-B14</f>
        <v>25688217.0636</v>
      </c>
      <c r="D14" s="24" t="n">
        <f aca="false">C14-C$13</f>
        <v>-1096030.5947136</v>
      </c>
      <c r="E14" s="25" t="str">
        <f aca="false">IF(A14=B$6,"CURRENT",IF(A14&lt;B$6,"IMPROVEMENT","WORSENING"))</f>
        <v>WORSENING</v>
      </c>
    </row>
    <row r="15" customFormat="false" ht="15" hidden="false" customHeight="false" outlineLevel="0" collapsed="false">
      <c r="A15" s="6" t="n">
        <v>0.28</v>
      </c>
      <c r="B15" s="8" t="n">
        <f aca="false">$B$7*A15</f>
        <v>9590267.703744</v>
      </c>
      <c r="C15" s="8" t="n">
        <f aca="false">$B$7-B15</f>
        <v>24660688.381056</v>
      </c>
      <c r="D15" s="24" t="n">
        <f aca="false">C15-C$13</f>
        <v>-2123559.2772576</v>
      </c>
      <c r="E15" s="25" t="str">
        <f aca="false">IF(A15=B$6,"CURRENT",IF(A15&lt;B$6,"IMPROVEMENT","WORSENING"))</f>
        <v>WORSENING</v>
      </c>
    </row>
    <row r="16" customFormat="false" ht="15" hidden="false" customHeight="false" outlineLevel="0" collapsed="false">
      <c r="A16" s="6" t="n">
        <v>0.3</v>
      </c>
      <c r="B16" s="8" t="n">
        <f aca="false">$B$7*A16</f>
        <v>10275286.82544</v>
      </c>
      <c r="C16" s="8" t="n">
        <f aca="false">$B$7-B16</f>
        <v>23975669.25936</v>
      </c>
      <c r="D16" s="24" t="n">
        <f aca="false">C16-C$13</f>
        <v>-2808578.3989536</v>
      </c>
      <c r="E16" s="25" t="str">
        <f aca="false">IF(A16=B$6,"CURRENT",IF(A16&lt;B$6,"IMPROVEMENT","WORSENING"))</f>
        <v>WORSENING</v>
      </c>
    </row>
    <row r="17" customFormat="false" ht="15" hidden="false" customHeight="false" outlineLevel="0" collapsed="false">
      <c r="A17" s="6" t="n">
        <v>0.35</v>
      </c>
      <c r="B17" s="8" t="n">
        <f aca="false">$B$7*A17</f>
        <v>11987834.62968</v>
      </c>
      <c r="C17" s="8" t="n">
        <f aca="false">$B$7-B17</f>
        <v>22263121.45512</v>
      </c>
      <c r="D17" s="24" t="n">
        <f aca="false">C17-C$13</f>
        <v>-4521126.2031936</v>
      </c>
      <c r="E17" s="25" t="str">
        <f aca="false">IF(A17=B$6,"CURRENT",IF(A17&lt;B$6,"IMPROVEMENT","WORSENING"))</f>
        <v>WORSENING</v>
      </c>
    </row>
    <row r="19" customFormat="false" ht="15" hidden="false" customHeight="false" outlineLevel="0" collapsed="false">
      <c r="A19" s="29" t="s">
        <v>71</v>
      </c>
      <c r="B19" s="29"/>
      <c r="C19" s="29"/>
      <c r="D19" s="29"/>
      <c r="E19" s="29"/>
      <c r="F19" s="29"/>
    </row>
  </sheetData>
  <mergeCells count="4">
    <mergeCell ref="A1:F1"/>
    <mergeCell ref="A3:D3"/>
    <mergeCell ref="A8:F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2026-06-21T04:55:36Z</dcterms:created>
  <dc:creator>openpyxl</dc:creator>
  <dc:description/>
  <dc:language>en-US</dc:language>
  <cp:lastModifiedBy/>
  <dcterms:modified xsi:type="dcterms:W3CDTF">2026-06-21T04:55:36Z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